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rovira-my.sharepoint.com/personal/39473493-l_epp_urv_cat/Documents/uni/4t/2n_quadri/CPM/pràctiques/p1.1/practica1.1_MireiaGascoAgorreta_NeusOllerMatas/"/>
    </mc:Choice>
  </mc:AlternateContent>
  <xr:revisionPtr revIDLastSave="254" documentId="8_{3617EB8E-ED0A-4F2F-B0A8-CE59D256F21E}" xr6:coauthVersionLast="47" xr6:coauthVersionMax="47" xr10:uidLastSave="{5406E944-FCF2-4017-965B-03C501F9D83F}"/>
  <bookViews>
    <workbookView xWindow="2790" yWindow="2790" windowWidth="16200" windowHeight="9308" activeTab="2" xr2:uid="{C4E6076C-50C8-4576-ADE7-9DAFDD10C2ED}"/>
  </bookViews>
  <sheets>
    <sheet name="seq" sheetId="1" r:id="rId1"/>
    <sheet name="parV1" sheetId="2" r:id="rId2"/>
    <sheet name="parv2" sheetId="3" r:id="rId3"/>
    <sheet name="amdah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D4" i="4"/>
  <c r="E4" i="4"/>
  <c r="F4" i="4"/>
  <c r="G4" i="4"/>
  <c r="H4" i="4"/>
  <c r="I4" i="4"/>
  <c r="C10" i="3"/>
  <c r="C11" i="2"/>
  <c r="D10" i="3"/>
  <c r="D11" i="3"/>
  <c r="C11" i="3"/>
  <c r="I11" i="3"/>
  <c r="H11" i="3"/>
  <c r="G11" i="3"/>
  <c r="F11" i="3"/>
  <c r="E11" i="3"/>
  <c r="G10" i="3"/>
  <c r="F10" i="3"/>
  <c r="E10" i="3"/>
  <c r="D11" i="2"/>
  <c r="E11" i="2"/>
  <c r="F11" i="2"/>
  <c r="G11" i="2"/>
  <c r="H11" i="2"/>
  <c r="I11" i="2"/>
  <c r="D10" i="2"/>
  <c r="E10" i="2"/>
  <c r="F10" i="2"/>
  <c r="G10" i="2"/>
  <c r="C10" i="2"/>
  <c r="J11" i="3" l="1"/>
  <c r="J10" i="3"/>
</calcChain>
</file>

<file path=xl/sharedStrings.xml><?xml version="1.0" encoding="utf-8"?>
<sst xmlns="http://schemas.openxmlformats.org/spreadsheetml/2006/main" count="66" uniqueCount="27">
  <si>
    <t>1 thread</t>
  </si>
  <si>
    <t>Teen</t>
  </si>
  <si>
    <t>Orca</t>
  </si>
  <si>
    <t>ncores</t>
  </si>
  <si>
    <t>resultat</t>
  </si>
  <si>
    <t>temps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</si>
  <si>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</si>
  <si>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</si>
  <si>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</si>
  <si>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</si>
  <si>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</si>
  <si>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</si>
  <si>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</si>
  <si>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</si>
  <si>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Threads</t>
  </si>
  <si>
    <t>2</t>
  </si>
  <si>
    <t>4</t>
  </si>
  <si>
    <t>8</t>
  </si>
  <si>
    <t>16</t>
  </si>
  <si>
    <t>32</t>
  </si>
  <si>
    <t>64</t>
  </si>
  <si>
    <t>128</t>
  </si>
  <si>
    <t>Mitjana Harmònica</t>
  </si>
  <si>
    <t>P</t>
  </si>
  <si>
    <t>N</t>
  </si>
  <si>
    <t>Speedup Teòric</t>
  </si>
  <si>
    <t>Columna9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</si>
</sst>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Temps d'execució per a N=4000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parV1!$B$5</c:f>
              <c:strCache>
                <c:ptCount val="1"/>
                <c:pt idx="0">
                  <c:v>Teen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parV1!$C$4:$I$4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parV1!$C$5:$I$5</c:f>
              <c:numCache>
                <c:formatCode>General</c:formatCode>
                <c:ptCount val="7"/>
                <c:pt idx="0">
                  <c:v>109</c:v>
                </c:pt>
                <c:pt idx="1">
                  <c:v>58</c:v>
                </c:pt>
                <c:pt idx="2">
                  <c:v>31</c:v>
                </c:pt>
                <c:pt idx="3">
                  <c:v>15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0-4925-8580-2F9C802298FF}"/>
            </c:ext>
          </c:extLst>
        </c:ser>
        <c:ser>
          <c:idx val="1"/>
          <c:order val="1"/>
          <c:tx>
            <c:strRef>
              <c:f>parV1!$B$6</c:f>
              <c:strCache>
                <c:ptCount val="1"/>
                <c:pt idx="0">
                  <c:v>Orca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parV1!$C$4:$I$4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parV1!$C$6:$I$6</c:f>
              <c:numCache>
                <c:formatCode>General</c:formatCode>
                <c:ptCount val="7"/>
                <c:pt idx="0">
                  <c:v>86</c:v>
                </c:pt>
                <c:pt idx="1">
                  <c:v>43</c:v>
                </c:pt>
                <c:pt idx="2">
                  <c:v>27</c:v>
                </c:pt>
                <c:pt idx="3">
                  <c:v>14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0-4925-8580-2F9C80229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04953968"/>
        <c:axId val="1904951088"/>
      </c:lineChart>
      <c:catAx>
        <c:axId val="19049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4951088"/>
        <c:crosses val="autoZero"/>
        <c:auto val="1"/>
        <c:lblAlgn val="ctr"/>
        <c:lblOffset val="100"/>
        <c:noMultiLvlLbl val="0"/>
      </c:catAx>
      <c:valAx>
        <c:axId val="190495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49539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Speedup (N=4000)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parV1!$B$9</c:f>
              <c:strCache>
                <c:ptCount val="1"/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parV1!$C$9:$I$9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2-468D-ADB9-9D52C3902C2F}"/>
            </c:ext>
          </c:extLst>
        </c:ser>
        <c:ser>
          <c:idx val="1"/>
          <c:order val="1"/>
          <c:tx>
            <c:strRef>
              <c:f>parV1!$B$10</c:f>
              <c:strCache>
                <c:ptCount val="1"/>
                <c:pt idx="0">
                  <c:v>Teen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parV1!$C$10:$I$10</c:f>
              <c:numCache>
                <c:formatCode>0.00</c:formatCode>
                <c:ptCount val="7"/>
                <c:pt idx="0">
                  <c:v>1.1834862385321101</c:v>
                </c:pt>
                <c:pt idx="1">
                  <c:v>2.2241379310344827</c:v>
                </c:pt>
                <c:pt idx="2">
                  <c:v>4.161290322580645</c:v>
                </c:pt>
                <c:pt idx="3">
                  <c:v>8.6</c:v>
                </c:pt>
                <c:pt idx="4">
                  <c:v>18.428571428571427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2-468D-ADB9-9D52C3902C2F}"/>
            </c:ext>
          </c:extLst>
        </c:ser>
        <c:ser>
          <c:idx val="2"/>
          <c:order val="2"/>
          <c:tx>
            <c:strRef>
              <c:f>parV1!$B$11</c:f>
              <c:strCache>
                <c:ptCount val="1"/>
                <c:pt idx="0">
                  <c:v>Orca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parV1!$C$11:$I$11</c:f>
              <c:numCache>
                <c:formatCode>0.00</c:formatCode>
                <c:ptCount val="7"/>
                <c:pt idx="0">
                  <c:v>0.83720930232558144</c:v>
                </c:pt>
                <c:pt idx="1">
                  <c:v>1.6744186046511629</c:v>
                </c:pt>
                <c:pt idx="2">
                  <c:v>2.6666666666666665</c:v>
                </c:pt>
                <c:pt idx="3">
                  <c:v>5.1428571428571432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0-4DDD-BFF3-A133D515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76234960"/>
        <c:axId val="1076235440"/>
      </c:lineChart>
      <c:catAx>
        <c:axId val="10762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235440"/>
        <c:crosses val="autoZero"/>
        <c:auto val="1"/>
        <c:lblAlgn val="ctr"/>
        <c:lblOffset val="100"/>
        <c:noMultiLvlLbl val="0"/>
      </c:catAx>
      <c:valAx>
        <c:axId val="107623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234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Temps d'execució per a N=4000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parv2!$B$5</c:f>
              <c:strCache>
                <c:ptCount val="1"/>
                <c:pt idx="0">
                  <c:v>Teen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parv2!$C$5:$I$5</c:f>
              <c:numCache>
                <c:formatCode>General</c:formatCode>
                <c:ptCount val="7"/>
                <c:pt idx="0">
                  <c:v>105</c:v>
                </c:pt>
                <c:pt idx="1">
                  <c:v>53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5-4322-AC3D-948D7442769D}"/>
            </c:ext>
          </c:extLst>
        </c:ser>
        <c:ser>
          <c:idx val="2"/>
          <c:order val="1"/>
          <c:tx>
            <c:strRef>
              <c:f>parv2!$B$6</c:f>
              <c:strCache>
                <c:ptCount val="1"/>
                <c:pt idx="0">
                  <c:v>Orca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parv2!$C$6:$I$6</c:f>
              <c:numCache>
                <c:formatCode>General</c:formatCode>
                <c:ptCount val="7"/>
                <c:pt idx="0">
                  <c:v>59</c:v>
                </c:pt>
                <c:pt idx="1">
                  <c:v>29</c:v>
                </c:pt>
                <c:pt idx="2">
                  <c:v>15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6-4366-8B77-2FC440D52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904953968"/>
        <c:axId val="1904951088"/>
      </c:lineChart>
      <c:catAx>
        <c:axId val="19049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4951088"/>
        <c:crosses val="autoZero"/>
        <c:auto val="1"/>
        <c:lblAlgn val="ctr"/>
        <c:lblOffset val="100"/>
        <c:noMultiLvlLbl val="0"/>
      </c:catAx>
      <c:valAx>
        <c:axId val="190495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49539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Speedup per a N=4000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parv2!$B$10</c:f>
              <c:strCache>
                <c:ptCount val="1"/>
                <c:pt idx="0">
                  <c:v>Teen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parv2!$C$9:$I$9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parv2!$C$10:$I$10</c:f>
              <c:numCache>
                <c:formatCode>0.00</c:formatCode>
                <c:ptCount val="7"/>
                <c:pt idx="0">
                  <c:v>1.2285714285714286</c:v>
                </c:pt>
                <c:pt idx="1">
                  <c:v>2.4339622641509435</c:v>
                </c:pt>
                <c:pt idx="2">
                  <c:v>4.03125</c:v>
                </c:pt>
                <c:pt idx="3">
                  <c:v>8.0625</c:v>
                </c:pt>
                <c:pt idx="4">
                  <c:v>16.125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7-49C4-9DA7-22DC0601C82F}"/>
            </c:ext>
          </c:extLst>
        </c:ser>
        <c:ser>
          <c:idx val="1"/>
          <c:order val="1"/>
          <c:tx>
            <c:strRef>
              <c:f>parv2!$B$11</c:f>
              <c:strCache>
                <c:ptCount val="1"/>
                <c:pt idx="0">
                  <c:v>Orca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parv2!$C$9:$I$9</c:f>
              <c:strCach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strCache>
            </c:strRef>
          </c:cat>
          <c:val>
            <c:numRef>
              <c:f>parv2!$C$11:$I$11</c:f>
              <c:numCache>
                <c:formatCode>0.00</c:formatCode>
                <c:ptCount val="7"/>
                <c:pt idx="0">
                  <c:v>1.2203389830508475</c:v>
                </c:pt>
                <c:pt idx="1">
                  <c:v>2.4827586206896552</c:v>
                </c:pt>
                <c:pt idx="2">
                  <c:v>4.8</c:v>
                </c:pt>
                <c:pt idx="3">
                  <c:v>10.285714285714286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7-49C4-9DA7-22DC0601C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76234960"/>
        <c:axId val="1076235440"/>
      </c:lineChart>
      <c:catAx>
        <c:axId val="10762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235440"/>
        <c:crosses val="autoZero"/>
        <c:auto val="1"/>
        <c:lblAlgn val="ctr"/>
        <c:lblOffset val="100"/>
        <c:noMultiLvlLbl val="0"/>
      </c:catAx>
      <c:valAx>
        <c:axId val="10762354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6234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Speedup Zoo vs Teòric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amdahl!$B$10</c:f>
              <c:strCache>
                <c:ptCount val="1"/>
                <c:pt idx="0">
                  <c:v>Teen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amdahl!$C$9:$I$9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amdahl!$C$10:$I$10</c:f>
              <c:numCache>
                <c:formatCode>General</c:formatCode>
                <c:ptCount val="7"/>
                <c:pt idx="0">
                  <c:v>1.2285714285714286</c:v>
                </c:pt>
                <c:pt idx="1">
                  <c:v>2.4339622641509435</c:v>
                </c:pt>
                <c:pt idx="2">
                  <c:v>4.03125</c:v>
                </c:pt>
                <c:pt idx="3">
                  <c:v>8.0625</c:v>
                </c:pt>
                <c:pt idx="4">
                  <c:v>16.125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A-404F-B92C-027B35942574}"/>
            </c:ext>
          </c:extLst>
        </c:ser>
        <c:ser>
          <c:idx val="1"/>
          <c:order val="1"/>
          <c:tx>
            <c:strRef>
              <c:f>amdahl!$B$11</c:f>
              <c:strCache>
                <c:ptCount val="1"/>
                <c:pt idx="0">
                  <c:v>Orca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amdahl!$C$9:$I$9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amdahl!$C$11:$I$11</c:f>
              <c:numCache>
                <c:formatCode>General</c:formatCode>
                <c:ptCount val="7"/>
                <c:pt idx="0">
                  <c:v>1.2203389830508475</c:v>
                </c:pt>
                <c:pt idx="1">
                  <c:v>2.4827586206896552</c:v>
                </c:pt>
                <c:pt idx="2">
                  <c:v>4.8</c:v>
                </c:pt>
                <c:pt idx="3">
                  <c:v>10.285714285714286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A-404F-B92C-027B35942574}"/>
            </c:ext>
          </c:extLst>
        </c:ser>
        <c:ser>
          <c:idx val="2"/>
          <c:order val="2"/>
          <c:tx>
            <c:strRef>
              <c:f>amdahl!$B$12</c:f>
              <c:strCache>
                <c:ptCount val="1"/>
                <c:pt idx="0">
                  <c:v>Speedup Teòric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amdahl!$C$9:$I$9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amdahl!$C$12:$I$12</c:f>
              <c:numCache>
                <c:formatCode>General</c:formatCode>
                <c:ptCount val="7"/>
                <c:pt idx="0">
                  <c:v>1.941747572815534</c:v>
                </c:pt>
                <c:pt idx="1">
                  <c:v>3.6697247706422016</c:v>
                </c:pt>
                <c:pt idx="2">
                  <c:v>6.6115702479338836</c:v>
                </c:pt>
                <c:pt idx="3">
                  <c:v>11.034482758620687</c:v>
                </c:pt>
                <c:pt idx="4">
                  <c:v>16.580310880829007</c:v>
                </c:pt>
                <c:pt idx="5">
                  <c:v>22.145328719723171</c:v>
                </c:pt>
                <c:pt idx="6">
                  <c:v>26.611226611226595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A-404F-B92C-027B35942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580543"/>
        <c:axId val="882578143"/>
      </c:lineChart>
      <c:catAx>
        <c:axId val="8825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2578143"/>
        <c:crosses val="autoZero"/>
        <c:auto val="1"/>
        <c:lblAlgn val="ctr"/>
        <c:lblOffset val="100"/>
        <c:noMultiLvlLbl val="0"/>
      </c:catAx>
      <c:valAx>
        <c:axId val="8825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25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Speedup Teòric (97%)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amdahl!$B$12</c:f>
              <c:strCache>
                <c:ptCount val="1"/>
                <c:pt idx="0">
                  <c:v>Speedup Teòric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amdahl!$C$9:$I$9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amdahl!$C$12:$I$12</c:f>
              <c:numCache>
                <c:formatCode>General</c:formatCode>
                <c:ptCount val="7"/>
                <c:pt idx="0">
                  <c:v>1.941747572815534</c:v>
                </c:pt>
                <c:pt idx="1">
                  <c:v>3.6697247706422016</c:v>
                </c:pt>
                <c:pt idx="2">
                  <c:v>6.6115702479338836</c:v>
                </c:pt>
                <c:pt idx="3">
                  <c:v>11.034482758620687</c:v>
                </c:pt>
                <c:pt idx="4">
                  <c:v>16.580310880829007</c:v>
                </c:pt>
                <c:pt idx="5">
                  <c:v>22.145328719723171</c:v>
                </c:pt>
                <c:pt idx="6">
                  <c:v>26.611226611226595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A-41CA-8C1E-22061BC4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580543"/>
        <c:axId val="882578143"/>
      </c:lineChart>
      <c:catAx>
        <c:axId val="88258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2578143"/>
        <c:crosses val="autoZero"/>
        <c:auto val="1"/>
        <c:lblAlgn val="ctr"/>
        <c:lblOffset val="100"/>
        <c:noMultiLvlLbl val="0"/>
      </c:catAx>
      <c:valAx>
        <c:axId val="8825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258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12</xdr:row>
      <xdr:rowOff>9525</xdr:rowOff>
    </xdr:from>
    <xdr:to>
      <xdr:col>13</xdr:col>
      <xdr:colOff>142875</xdr:colOff>
      <xdr:row>26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E0AA18-A332-36A9-3BEF-D9BF4E14A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12</xdr:row>
      <xdr:rowOff>15875</xdr:rowOff>
    </xdr:from>
    <xdr:to>
      <xdr:col>7</xdr:col>
      <xdr:colOff>9525</xdr:colOff>
      <xdr:row>26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C93216-8BE1-FEB9-CC84-046E41024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755650</xdr:colOff>
      <xdr:row>11</xdr:row>
      <xdr:rowOff>158750</xdr:rowOff>
    </xdr:from>
    <xdr:to>
      <xdr:col>12</xdr:col>
      <xdr:colOff>755650</xdr:colOff>
      <xdr:row>26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2E857C-5ABA-4DC5-9B0C-0D025C644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622300</xdr:colOff>
      <xdr:row>11</xdr:row>
      <xdr:rowOff>165100</xdr:rowOff>
    </xdr:from>
    <xdr:to>
      <xdr:col>6</xdr:col>
      <xdr:colOff>622300</xdr:colOff>
      <xdr:row>26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4FEC13-597C-4B71-81BF-89E54DB4B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733425</xdr:colOff>
      <xdr:row>12</xdr:row>
      <xdr:rowOff>15875</xdr:rowOff>
    </xdr:from>
    <xdr:to>
      <xdr:col>14</xdr:col>
      <xdr:colOff>733425</xdr:colOff>
      <xdr:row>26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D005E0-C536-A9A2-F0EF-9BD0C75D2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158750</xdr:colOff>
      <xdr:row>12</xdr:row>
      <xdr:rowOff>50800</xdr:rowOff>
    </xdr:from>
    <xdr:to>
      <xdr:col>8</xdr:col>
      <xdr:colOff>158750</xdr:colOff>
      <xdr:row>27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62C055-0624-4108-9A10-394E3B274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439BFC-7C4D-4732-A44A-967EB9DE9529}" name="Tabla3" displayName="Tabla3" ref="B2:I6" totalsRowShown="0" headerRowDxfId="9">
  <autoFilter ref="B2:I6" xr:uid="{01439BFC-7C4D-4732-A44A-967EB9DE9529}"/>
  <tableColumns count="8">
    <tableColumn id="1" xr3:uid="{3E204533-A481-4DB1-BCA1-2D5B60FF166A}" name="Columna1"/>
    <tableColumn id="2" xr3:uid="{BCF654DB-6D89-48A9-8900-9B38FECD8629}" name="Columna2"/>
    <tableColumn id="3" xr3:uid="{56B65A8E-0806-4464-8116-35CD20018DBC}" name="Columna3"/>
    <tableColumn id="4" xr3:uid="{8AC89100-3F87-46C5-95C7-AD2C2E6395BD}" name="Columna4"/>
    <tableColumn id="5" xr3:uid="{3FD5CCF1-8358-49CF-9F4F-71360588C386}" name="Columna5"/>
    <tableColumn id="6" xr3:uid="{A9D45AB3-8DE3-42C2-8458-216E5D650BDC}" name="Columna6"/>
    <tableColumn id="7" xr3:uid="{DA14EE9B-7D40-444C-8643-2FC4B698A9C0}" name="Columna7"/>
    <tableColumn id="8" xr3:uid="{2070B1BE-99E4-4366-80E8-7234453EC6F1}" name="Columna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D279E2-8F2C-4653-BDAB-D2DA409CD4DE}" name="Tabla4" displayName="Tabla4" ref="B8:I11" totalsRowShown="0" headerRowDxfId="8">
  <autoFilter ref="B8:I11" xr:uid="{90D279E2-8F2C-4653-BDAB-D2DA409CD4DE}"/>
  <tableColumns count="8">
    <tableColumn id="1" xr3:uid="{243B88D7-B4A0-4BE2-8887-0026416A6A52}" name="Columna1"/>
    <tableColumn id="2" xr3:uid="{7DE79C87-00B7-4AF3-8AEC-FB667E4F13D9}" name="Threads"/>
    <tableColumn id="3" xr3:uid="{4224E567-0A0B-4CB2-BC18-8B361E51D898}" name="Columna2"/>
    <tableColumn id="4" xr3:uid="{7902FF86-19C7-40CA-9564-9F8C596CF28A}" name="Columna3"/>
    <tableColumn id="5" xr3:uid="{D016D433-1158-4010-9ECF-6772025D94EF}" name="Columna4"/>
    <tableColumn id="6" xr3:uid="{E2B43C0D-A4B5-4346-904C-EB481E621AD1}" name="Columna5"/>
    <tableColumn id="7" xr3:uid="{12902B0A-BF15-4B6B-AD7E-E038B5177C1F}" name="Columna6"/>
    <tableColumn id="8" xr3:uid="{25F3DAB3-81E0-42FF-BC11-CDDF2808849B}" name="Columna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61233-6527-4B7F-AF00-B99CB8E7CE62}" name="Tabla2" displayName="Tabla2" ref="B9:J11" totalsRowShown="0">
  <autoFilter ref="B9:J11" xr:uid="{AFA61233-6527-4B7F-AF00-B99CB8E7CE62}"/>
  <tableColumns count="9">
    <tableColumn id="1" xr3:uid="{F182652D-1BF7-4BCE-A04E-7CF6E3FD8E94}" name="Threads"/>
    <tableColumn id="2" xr3:uid="{D9E9A8B5-7173-4CAA-8487-2297AAF5CCF6}" name="2" dataDxfId="7">
      <calculatedColumnFormula>72/C5</calculatedColumnFormula>
    </tableColumn>
    <tableColumn id="3" xr3:uid="{F5109479-96F2-4976-A0FE-CFBE0B39609E}" name="4" dataDxfId="6">
      <calculatedColumnFormula>72/D5</calculatedColumnFormula>
    </tableColumn>
    <tableColumn id="4" xr3:uid="{27C6E03A-3F28-4B81-A555-2170C0A37BE2}" name="8" dataDxfId="5">
      <calculatedColumnFormula>72/E5</calculatedColumnFormula>
    </tableColumn>
    <tableColumn id="5" xr3:uid="{085883B1-D057-4BEF-96D4-E482430319F8}" name="16" dataDxfId="4">
      <calculatedColumnFormula>72/F5</calculatedColumnFormula>
    </tableColumn>
    <tableColumn id="6" xr3:uid="{14E2B1B0-94EA-4A4E-97B6-59136DAA97B0}" name="32" dataDxfId="3">
      <calculatedColumnFormula>72/G5</calculatedColumnFormula>
    </tableColumn>
    <tableColumn id="7" xr3:uid="{9574CA23-C7B8-459A-8C80-480123C557BB}" name="64" dataDxfId="2">
      <calculatedColumnFormula>72/H5</calculatedColumnFormula>
    </tableColumn>
    <tableColumn id="8" xr3:uid="{5F481F78-3626-436A-AD7A-306E87A73AAB}" name="128" dataDxfId="1">
      <calculatedColumnFormula>72/I5</calculatedColumnFormula>
    </tableColumn>
    <tableColumn id="9" xr3:uid="{26818E0E-42EA-4DEE-915E-329FDC64E63A}" name="Mitjana Harmònica" dataDxfId="0">
      <calculatedColumnFormula>HARMEAN(C10:I10)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14FA6-35E6-4D6D-B1BF-CBCEEA9A3BC2}" name="Tabla1" displayName="Tabla1" ref="B3:I6" totalsRowShown="0">
  <autoFilter ref="B3:I6" xr:uid="{59B14FA6-35E6-4D6D-B1BF-CBCEEA9A3BC2}"/>
  <tableColumns count="8">
    <tableColumn id="1" xr3:uid="{37B8226F-AD85-43F1-8815-9C292CF5E57C}" name="Columna1"/>
    <tableColumn id="2" xr3:uid="{9C4AED80-1387-46CF-B366-C7C252434E30}" name="Columna2"/>
    <tableColumn id="3" xr3:uid="{0A3A2AC9-1F6F-4FEC-AF4C-B485DFA13187}" name="Columna3"/>
    <tableColumn id="4" xr3:uid="{37BB87A4-0DB6-4A3E-AFA4-33FD93542203}" name="Columna4"/>
    <tableColumn id="5" xr3:uid="{38BB428F-5DBF-4BBE-B205-15438A6A8BB9}" name="Columna5"/>
    <tableColumn id="6" xr3:uid="{711EDF3A-AE67-4300-BD3E-064F62269AAC}" name="Columna6"/>
    <tableColumn id="7" xr3:uid="{7F6ECB00-1A16-4879-A0C3-85B4BA882E27}" name="Columna7"/>
    <tableColumn id="8" xr3:uid="{A941C651-AF7D-4E20-9649-05A429163302}" name="Columna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A3F299-3CD4-4748-B62D-B392F2296C40}" name="Tabla5" displayName="Tabla5" ref="B7:J12" totalsRowShown="0">
  <autoFilter ref="B7:J12" xr:uid="{88A3F299-3CD4-4748-B62D-B392F2296C40}"/>
  <tableColumns count="9">
    <tableColumn id="1" xr3:uid="{89274DB5-08C4-42FE-9063-A46729A80751}" name="Columna1"/>
    <tableColumn id="2" xr3:uid="{34ED6C5F-500E-4CF7-82BB-91FA34115C75}" name="Columna2"/>
    <tableColumn id="3" xr3:uid="{CC92B776-2122-43DB-893C-E559DF7216F3}" name="Columna3"/>
    <tableColumn id="4" xr3:uid="{7037F382-FEFE-417D-B0CD-CAA274BDEB3E}" name="Columna4"/>
    <tableColumn id="5" xr3:uid="{5CE6D97F-2421-49DC-99BE-5901FF354105}" name="Columna5"/>
    <tableColumn id="6" xr3:uid="{A0672B3E-D8D2-4AFE-9FCD-751486A0B098}" name="Columna6"/>
    <tableColumn id="7" xr3:uid="{ED18CEE4-5E5F-400B-AF1D-117A2C00868A}" name="Columna7"/>
    <tableColumn id="8" xr3:uid="{0258F46B-F561-4FBC-8D78-EA1F0FDDB86E}" name="Columna8"/>
    <tableColumn id="9" xr3:uid="{AAFB61A2-D480-4068-B259-2092AA23AA6A}" name="Columna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CEB8-EFFE-4B2D-81E2-6F4701105D21}">
  <dimension ref="B3:C11"/>
  <sheetViews>
    <sheetView workbookViewId="0">
      <selection activeCell="C5" sqref="C5"/>
    </sheetView>
  </sheetViews>
  <sheetFormatPr baseColWidth="10" defaultColWidth="11.3984375" defaultRowHeight="14.25" x14ac:dyDescent="0.45"/>
  <sheetData>
    <row r="3" spans="2:3" x14ac:dyDescent="0.45">
      <c r="C3" t="s">
        <v>0</v>
      </c>
    </row>
    <row r="4" spans="2:3" x14ac:dyDescent="0.45">
      <c r="B4" t="s">
        <v>1</v>
      </c>
      <c r="C4">
        <v>129</v>
      </c>
    </row>
    <row r="5" spans="2:3" x14ac:dyDescent="0.45">
      <c r="B5" t="s">
        <v>2</v>
      </c>
    </row>
    <row r="9" spans="2:3" x14ac:dyDescent="0.45">
      <c r="B9" t="s">
        <v>3</v>
      </c>
      <c r="C9">
        <v>32</v>
      </c>
    </row>
    <row r="10" spans="2:3" x14ac:dyDescent="0.45">
      <c r="B10" t="s">
        <v>4</v>
      </c>
      <c r="C10" s="1">
        <v>222753</v>
      </c>
    </row>
    <row r="11" spans="2:3" x14ac:dyDescent="0.45">
      <c r="B11" t="s">
        <v>5</v>
      </c>
      <c r="C11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C583-B0C3-40CF-A36B-98120604EF11}">
  <dimension ref="B2:I11"/>
  <sheetViews>
    <sheetView zoomScale="80" zoomScaleNormal="80" workbookViewId="0">
      <selection activeCell="K11" sqref="K11"/>
    </sheetView>
  </sheetViews>
  <sheetFormatPr baseColWidth="10" defaultColWidth="11.3984375" defaultRowHeight="14.25" x14ac:dyDescent="0.45"/>
  <cols>
    <col min="2" max="9" width="12.59765625" bestFit="1" customWidth="1"/>
  </cols>
  <sheetData>
    <row r="2" spans="2:9" x14ac:dyDescent="0.45">
      <c r="B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2:9" x14ac:dyDescent="0.45">
      <c r="C3" s="3" t="s">
        <v>14</v>
      </c>
      <c r="D3" s="3"/>
      <c r="E3" s="3"/>
      <c r="F3" s="3"/>
      <c r="G3" s="3"/>
      <c r="H3" s="3"/>
      <c r="I3" s="3"/>
    </row>
    <row r="4" spans="2:9" x14ac:dyDescent="0.45">
      <c r="C4">
        <v>2</v>
      </c>
      <c r="D4">
        <v>4</v>
      </c>
      <c r="E4">
        <v>8</v>
      </c>
      <c r="F4">
        <v>16</v>
      </c>
      <c r="G4">
        <v>32</v>
      </c>
      <c r="H4">
        <v>64</v>
      </c>
      <c r="I4">
        <v>128</v>
      </c>
    </row>
    <row r="5" spans="2:9" x14ac:dyDescent="0.45">
      <c r="B5" t="s">
        <v>1</v>
      </c>
      <c r="C5">
        <v>109</v>
      </c>
      <c r="D5">
        <v>58</v>
      </c>
      <c r="E5">
        <v>31</v>
      </c>
      <c r="F5">
        <v>15</v>
      </c>
      <c r="G5">
        <v>7</v>
      </c>
    </row>
    <row r="6" spans="2:9" x14ac:dyDescent="0.45">
      <c r="B6" t="s">
        <v>2</v>
      </c>
      <c r="C6">
        <v>86</v>
      </c>
      <c r="D6">
        <v>43</v>
      </c>
      <c r="E6">
        <v>27</v>
      </c>
      <c r="F6">
        <v>14</v>
      </c>
      <c r="G6">
        <v>6</v>
      </c>
      <c r="H6">
        <v>6</v>
      </c>
      <c r="I6">
        <v>6</v>
      </c>
    </row>
    <row r="8" spans="2:9" x14ac:dyDescent="0.45">
      <c r="B8" t="s">
        <v>6</v>
      </c>
      <c r="C8" s="3" t="s">
        <v>14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</row>
    <row r="9" spans="2:9" x14ac:dyDescent="0.45">
      <c r="C9">
        <v>2</v>
      </c>
      <c r="D9">
        <v>4</v>
      </c>
      <c r="E9">
        <v>8</v>
      </c>
      <c r="F9">
        <v>16</v>
      </c>
      <c r="G9">
        <v>32</v>
      </c>
      <c r="H9">
        <v>64</v>
      </c>
      <c r="I9">
        <v>128</v>
      </c>
    </row>
    <row r="10" spans="2:9" x14ac:dyDescent="0.45">
      <c r="B10" t="s">
        <v>1</v>
      </c>
      <c r="C10" s="2">
        <f>129/C5</f>
        <v>1.1834862385321101</v>
      </c>
      <c r="D10" s="2">
        <f>129/D5</f>
        <v>2.2241379310344827</v>
      </c>
      <c r="E10" s="2">
        <f>129/E5</f>
        <v>4.161290322580645</v>
      </c>
      <c r="F10" s="2">
        <f>129/F5</f>
        <v>8.6</v>
      </c>
      <c r="G10" s="2">
        <f>129/G5</f>
        <v>18.428571428571427</v>
      </c>
    </row>
    <row r="11" spans="2:9" x14ac:dyDescent="0.45">
      <c r="B11" t="s">
        <v>2</v>
      </c>
      <c r="C11" s="2">
        <f t="shared" ref="C11:I11" si="0">72/C6</f>
        <v>0.83720930232558144</v>
      </c>
      <c r="D11" s="2">
        <f t="shared" si="0"/>
        <v>1.6744186046511629</v>
      </c>
      <c r="E11" s="2">
        <f t="shared" si="0"/>
        <v>2.6666666666666665</v>
      </c>
      <c r="F11" s="2">
        <f t="shared" si="0"/>
        <v>5.1428571428571432</v>
      </c>
      <c r="G11" s="2">
        <f t="shared" si="0"/>
        <v>12</v>
      </c>
      <c r="H11" s="2">
        <f t="shared" si="0"/>
        <v>12</v>
      </c>
      <c r="I11" s="2">
        <f t="shared" si="0"/>
        <v>12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ACAE-7798-4B6C-BF31-99189BD4D38E}">
  <dimension ref="B2:M11"/>
  <sheetViews>
    <sheetView tabSelected="1" topLeftCell="A2" zoomScale="80" zoomScaleNormal="80" workbookViewId="0">
      <selection activeCell="J32" sqref="J32"/>
    </sheetView>
  </sheetViews>
  <sheetFormatPr baseColWidth="10" defaultColWidth="11.3984375" defaultRowHeight="14.25" x14ac:dyDescent="0.45"/>
  <cols>
    <col min="2" max="9" width="12.59765625" bestFit="1" customWidth="1"/>
    <col min="10" max="10" width="20.59765625" bestFit="1" customWidth="1"/>
  </cols>
  <sheetData>
    <row r="2" spans="2:13" x14ac:dyDescent="0.45">
      <c r="C2" s="6" t="s">
        <v>14</v>
      </c>
      <c r="D2" s="6"/>
      <c r="E2" s="6"/>
      <c r="F2" s="6"/>
      <c r="G2" s="6"/>
      <c r="H2" s="6"/>
      <c r="I2" s="6"/>
    </row>
    <row r="3" spans="2:13" x14ac:dyDescent="0.4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</row>
    <row r="4" spans="2:13" x14ac:dyDescent="0.45">
      <c r="C4">
        <v>2</v>
      </c>
      <c r="D4">
        <v>4</v>
      </c>
      <c r="E4">
        <v>8</v>
      </c>
      <c r="F4">
        <v>16</v>
      </c>
      <c r="G4">
        <v>32</v>
      </c>
      <c r="H4">
        <v>64</v>
      </c>
      <c r="I4">
        <v>128</v>
      </c>
    </row>
    <row r="5" spans="2:13" x14ac:dyDescent="0.45">
      <c r="B5" t="s">
        <v>1</v>
      </c>
      <c r="C5">
        <v>105</v>
      </c>
      <c r="D5">
        <v>53</v>
      </c>
      <c r="E5">
        <v>32</v>
      </c>
      <c r="F5">
        <v>16</v>
      </c>
      <c r="G5">
        <v>8</v>
      </c>
    </row>
    <row r="6" spans="2:13" x14ac:dyDescent="0.45">
      <c r="B6" t="s">
        <v>2</v>
      </c>
      <c r="C6">
        <v>59</v>
      </c>
      <c r="D6">
        <v>29</v>
      </c>
      <c r="E6">
        <v>15</v>
      </c>
      <c r="F6">
        <v>7</v>
      </c>
      <c r="G6">
        <v>5</v>
      </c>
      <c r="H6">
        <v>5</v>
      </c>
      <c r="I6">
        <v>5</v>
      </c>
      <c r="M6" s="5"/>
    </row>
    <row r="8" spans="2:13" x14ac:dyDescent="0.45">
      <c r="C8" s="6" t="s">
        <v>14</v>
      </c>
      <c r="D8" s="6"/>
      <c r="E8" s="6"/>
      <c r="F8" s="6"/>
      <c r="G8" s="6"/>
      <c r="H8" s="6"/>
      <c r="I8" s="6"/>
    </row>
    <row r="9" spans="2:13" x14ac:dyDescent="0.45"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2:13" x14ac:dyDescent="0.45">
      <c r="B10" t="s">
        <v>1</v>
      </c>
      <c r="C10" s="2">
        <f>129/C5</f>
        <v>1.2285714285714286</v>
      </c>
      <c r="D10" s="2">
        <f>129/D5</f>
        <v>2.4339622641509435</v>
      </c>
      <c r="E10" s="2">
        <f>129/E5</f>
        <v>4.03125</v>
      </c>
      <c r="F10" s="2">
        <f>129/F5</f>
        <v>8.0625</v>
      </c>
      <c r="G10" s="2">
        <f>129/G5</f>
        <v>16.125</v>
      </c>
      <c r="H10" s="2"/>
      <c r="I10" s="2"/>
      <c r="J10" s="4">
        <f>HARMEAN(C10:G10)</f>
        <v>3.0140186915887854</v>
      </c>
    </row>
    <row r="11" spans="2:13" x14ac:dyDescent="0.45">
      <c r="B11" t="s">
        <v>2</v>
      </c>
      <c r="C11" s="2">
        <f t="shared" ref="C11:I11" si="0">72/C6</f>
        <v>1.2203389830508475</v>
      </c>
      <c r="D11" s="2">
        <f t="shared" si="0"/>
        <v>2.4827586206896552</v>
      </c>
      <c r="E11" s="2">
        <f t="shared" si="0"/>
        <v>4.8</v>
      </c>
      <c r="F11" s="2">
        <f t="shared" si="0"/>
        <v>10.285714285714286</v>
      </c>
      <c r="G11" s="2">
        <f t="shared" si="0"/>
        <v>14.4</v>
      </c>
      <c r="H11" s="2">
        <f t="shared" si="0"/>
        <v>14.4</v>
      </c>
      <c r="I11" s="2">
        <f t="shared" si="0"/>
        <v>14.4</v>
      </c>
      <c r="J11" s="4">
        <f>HARMEAN(C11:I11)</f>
        <v>4.032</v>
      </c>
    </row>
  </sheetData>
  <mergeCells count="2">
    <mergeCell ref="C2:I2"/>
    <mergeCell ref="C8:I8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FE60-D952-4179-B229-E49900029501}">
  <dimension ref="B2:J12"/>
  <sheetViews>
    <sheetView workbookViewId="0">
      <selection activeCell="M9" sqref="M9"/>
    </sheetView>
  </sheetViews>
  <sheetFormatPr baseColWidth="10" defaultColWidth="11.3984375" defaultRowHeight="14.25" x14ac:dyDescent="0.45"/>
  <cols>
    <col min="2" max="2" width="14.3984375" bestFit="1" customWidth="1"/>
    <col min="3" max="10" width="12.59765625" bestFit="1" customWidth="1"/>
  </cols>
  <sheetData>
    <row r="2" spans="2:10" x14ac:dyDescent="0.45">
      <c r="B2" t="s">
        <v>23</v>
      </c>
      <c r="C2">
        <v>0.97</v>
      </c>
    </row>
    <row r="3" spans="2:10" x14ac:dyDescent="0.45">
      <c r="B3" t="s">
        <v>24</v>
      </c>
      <c r="C3">
        <v>2</v>
      </c>
      <c r="D3">
        <v>4</v>
      </c>
      <c r="E3">
        <v>8</v>
      </c>
      <c r="F3">
        <v>16</v>
      </c>
      <c r="G3">
        <v>32</v>
      </c>
      <c r="H3">
        <v>64</v>
      </c>
      <c r="I3">
        <v>128</v>
      </c>
    </row>
    <row r="4" spans="2:10" x14ac:dyDescent="0.45">
      <c r="B4" t="s">
        <v>25</v>
      </c>
      <c r="C4">
        <f>1/((1-$C$2)+($C$2/C3))</f>
        <v>1.941747572815534</v>
      </c>
      <c r="D4">
        <f>1/((1-$C$2)+($C$2/D3))</f>
        <v>3.6697247706422016</v>
      </c>
      <c r="E4">
        <f t="shared" ref="E4:I4" si="0">1/((1-$C$2)+($C$2/E3))</f>
        <v>6.6115702479338836</v>
      </c>
      <c r="F4">
        <f t="shared" si="0"/>
        <v>11.034482758620687</v>
      </c>
      <c r="G4">
        <f t="shared" si="0"/>
        <v>16.580310880829007</v>
      </c>
      <c r="H4">
        <f t="shared" si="0"/>
        <v>22.145328719723171</v>
      </c>
      <c r="I4">
        <f t="shared" si="0"/>
        <v>26.611226611226595</v>
      </c>
    </row>
    <row r="7" spans="2:10" x14ac:dyDescent="0.45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26</v>
      </c>
    </row>
    <row r="8" spans="2:10" x14ac:dyDescent="0.45">
      <c r="C8" t="s">
        <v>14</v>
      </c>
    </row>
    <row r="9" spans="2:10" x14ac:dyDescent="0.45">
      <c r="C9">
        <v>2</v>
      </c>
      <c r="D9">
        <v>4</v>
      </c>
      <c r="E9">
        <v>8</v>
      </c>
      <c r="F9">
        <v>16</v>
      </c>
      <c r="G9">
        <v>32</v>
      </c>
      <c r="H9">
        <v>64</v>
      </c>
      <c r="I9">
        <v>128</v>
      </c>
    </row>
    <row r="10" spans="2:10" x14ac:dyDescent="0.45">
      <c r="B10" t="s">
        <v>1</v>
      </c>
      <c r="C10">
        <v>1.2285714285714286</v>
      </c>
      <c r="D10">
        <v>2.4339622641509435</v>
      </c>
      <c r="E10">
        <v>4.03125</v>
      </c>
      <c r="F10">
        <v>8.0625</v>
      </c>
      <c r="G10">
        <v>16.125</v>
      </c>
      <c r="J10">
        <v>3.0140186915887854</v>
      </c>
    </row>
    <row r="11" spans="2:10" x14ac:dyDescent="0.45">
      <c r="B11" t="s">
        <v>2</v>
      </c>
      <c r="C11">
        <v>1.2203389830508475</v>
      </c>
      <c r="D11">
        <v>2.4827586206896552</v>
      </c>
      <c r="E11">
        <v>4.8</v>
      </c>
      <c r="F11">
        <v>10.285714285714286</v>
      </c>
      <c r="G11">
        <v>14.4</v>
      </c>
      <c r="H11">
        <v>14.4</v>
      </c>
      <c r="I11">
        <v>14.4</v>
      </c>
      <c r="J11">
        <v>4.032</v>
      </c>
    </row>
    <row r="12" spans="2:10" x14ac:dyDescent="0.45">
      <c r="B12" t="s">
        <v>25</v>
      </c>
      <c r="C12">
        <v>1.941747572815534</v>
      </c>
      <c r="D12">
        <v>3.6697247706422016</v>
      </c>
      <c r="E12">
        <v>6.6115702479338836</v>
      </c>
      <c r="F12">
        <v>11.034482758620687</v>
      </c>
      <c r="G12">
        <v>16.580310880829007</v>
      </c>
      <c r="H12">
        <v>22.145328719723171</v>
      </c>
      <c r="I12">
        <v>26.611226611226595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seq</vt:lpstr>
      <vt:lpstr>parV1</vt:lpstr>
      <vt:lpstr>parv2</vt:lpstr>
      <vt:lpstr>amdahl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Mireia Gasco Agorreta</dc:creator>
  <cp:keywords/>
  <dc:description/>
  <cp:lastModifiedBy>Neus Oller Matas</cp:lastModifiedBy>
  <cp:revision/>
  <dcterms:created xsi:type="dcterms:W3CDTF">2024-03-18T10:20:40Z</dcterms:created>
  <dcterms:modified xsi:type="dcterms:W3CDTF">2024-05-21T21:12:14Z</dcterms:modified>
  <cp:category/>
  <cp:contentStatus/>
</cp:coreProperties>
</file>